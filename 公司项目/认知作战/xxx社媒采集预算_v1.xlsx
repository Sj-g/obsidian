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50"/>
  </bookViews>
  <sheets>
    <sheet name="总汇总" sheetId="1" r:id="rId1"/>
    <sheet name="参数" sheetId="2" r:id="rId2"/>
    <sheet name="平台测算" sheetId="3" r:id="rId3"/>
    <sheet name="VPS费用" sheetId="4" r:id="rId4"/>
    <sheet name="HBase服务" sheetId="5" r:id="rId5"/>
    <sheet name="账号费用" sheetId="6" r:id="rId6"/>
    <sheet name="本地存储" sheetId="7" r:id="rId7"/>
    <sheet name="计算公式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<sst xmlns="http://schemas.openxmlformats.org/spreadsheetml/2006/main" count="264" uniqueCount="205">
  <si>
    <t>xxxxx社媒采集预算</t>
  </si>
  <si>
    <t>单位：人民币；预算口径采用 27 台 VPS 全高配、HBase 服务、账号月损耗和本地 10TB SSD/HDD。长期存储仅包含文字、评论、用户信息等结构化文本；图片和视频不做长期存储。</t>
  </si>
  <si>
    <t>首年预算总计</t>
  </si>
  <si>
    <t>万元</t>
  </si>
  <si>
    <t>序号</t>
  </si>
  <si>
    <t>费用项</t>
  </si>
  <si>
    <t>计算口径</t>
  </si>
  <si>
    <t>月费用（元）</t>
  </si>
  <si>
    <t>年/一次费用（元）</t>
  </si>
  <si>
    <t>金额（万元）</t>
  </si>
  <si>
    <t>计入口径</t>
  </si>
  <si>
    <t>备注</t>
  </si>
  <si>
    <t>年度代理流量费用</t>
  </si>
  <si>
    <t>7,461 万条/轮 × 6KB/条 × 6 轮 × 61.2 元/GB</t>
  </si>
  <si>
    <t>是</t>
  </si>
  <si>
    <t>包含 20% 代理流量缓冲；长期保存为结构化文本</t>
  </si>
  <si>
    <t>年度 VPS 费用</t>
  </si>
  <si>
    <t>预算口径：27 台 × 2,552 元/月 × 12 月</t>
  </si>
  <si>
    <t>云盘、公网带宽、快照、日志、监控不再单独拆项</t>
  </si>
  <si>
    <t>年度 HBase 服务费用</t>
  </si>
  <si>
    <t>10,263.60 元/月 × 12 月</t>
  </si>
  <si>
    <t>只存文字、评论、用户信息等结构化文本</t>
  </si>
  <si>
    <t>初始账号池</t>
  </si>
  <si>
    <t>Facebook/Instagram/X 各 1000 个 × 25 元</t>
  </si>
  <si>
    <t>TikTok 不配置账号</t>
  </si>
  <si>
    <t>年账号补充费用</t>
  </si>
  <si>
    <t>月损耗 50%，每月补充 1500 个 × 25 元 × 12 月</t>
  </si>
  <si>
    <t>Facebook、Instagram、X</t>
  </si>
  <si>
    <t>本地 SSD</t>
  </si>
  <si>
    <t>10TB，2TB 价格 3,282.51 元 × 5</t>
  </si>
  <si>
    <t>用于结构化文本数据；不长期存储图片和视频</t>
  </si>
  <si>
    <t>本地 HDD</t>
  </si>
  <si>
    <t>10TB，2TB 价格 1,358 元 × 5</t>
  </si>
  <si>
    <t/>
  </si>
  <si>
    <t>合计</t>
  </si>
  <si>
    <t>确定版总计</t>
  </si>
  <si>
    <t>预算参数</t>
  </si>
  <si>
    <t>所有单位已统一为人民币；长期存储仅包含文字、评论、用户信息等结构化文本；图片和视频不做长期存储。</t>
  </si>
  <si>
    <t>参数</t>
  </si>
  <si>
    <t>数值</t>
  </si>
  <si>
    <t>单位</t>
  </si>
  <si>
    <t>说明</t>
  </si>
  <si>
    <t>采集地区</t>
  </si>
  <si>
    <t>马来西亚</t>
  </si>
  <si>
    <t>-</t>
  </si>
  <si>
    <t>按马来西亚地区平台用户表估算</t>
  </si>
  <si>
    <t>平台范围</t>
  </si>
  <si>
    <t>Facebook、Instagram、TikTok、X</t>
  </si>
  <si>
    <t>四个平台分别计算，不做跨平台去重</t>
  </si>
  <si>
    <t>长期存储范围</t>
  </si>
  <si>
    <t>文字、评论、用户信息等结构化文本</t>
  </si>
  <si>
    <t>只保存解析后的文本类结构化结果</t>
  </si>
  <si>
    <t>不长期存储内容</t>
  </si>
  <si>
    <t>图片、视频、HTML 原文</t>
  </si>
  <si>
    <t>图片和视频不做长期存储，HTML 原文不落库</t>
  </si>
  <si>
    <t>用户表总规模</t>
  </si>
  <si>
    <t>条</t>
  </si>
  <si>
    <t>平台用户表合计 7,461 万条</t>
  </si>
  <si>
    <t>刷新周期</t>
  </si>
  <si>
    <t>天/轮</t>
  </si>
  <si>
    <t>2 个月完成一轮完整用户表</t>
  </si>
  <si>
    <t>项目周期</t>
  </si>
  <si>
    <t>月</t>
  </si>
  <si>
    <t>一年 6 轮</t>
  </si>
  <si>
    <t>单条代理抓取流量</t>
  </si>
  <si>
    <t>KB/条</t>
  </si>
  <si>
    <t>代理计费基础流量</t>
  </si>
  <si>
    <t>代理缓冲</t>
  </si>
  <si>
    <t>比例</t>
  </si>
  <si>
    <t>覆盖重试、跳转、失败请求</t>
  </si>
  <si>
    <t>单条代理计费流量</t>
  </si>
  <si>
    <t>5KB × 1.2</t>
  </si>
  <si>
    <t>住宅代理单价</t>
  </si>
  <si>
    <t>元/GB</t>
  </si>
  <si>
    <t>用户确认口径</t>
  </si>
  <si>
    <t>HBase 单条结构化记录</t>
  </si>
  <si>
    <t>落库数据大小</t>
  </si>
  <si>
    <t>HBase 副本和预留系数</t>
  </si>
  <si>
    <t>倍</t>
  </si>
  <si>
    <t>2 副本 × 30% 预留</t>
  </si>
  <si>
    <t>HBase 服务月费</t>
  </si>
  <si>
    <t>元/月</t>
  </si>
  <si>
    <t>阿里云 HBase 服务</t>
  </si>
  <si>
    <t>元</t>
  </si>
  <si>
    <t>10TB</t>
  </si>
  <si>
    <t>平台分项测算</t>
  </si>
  <si>
    <t>用户规模来自公开广告覆盖口径，用于成本估算，不等同真实独立自然人；长期存储只按结构化文本结果估算。</t>
  </si>
  <si>
    <t>平台</t>
  </si>
  <si>
    <t>用户表规模（条）</t>
  </si>
  <si>
    <t>日均爬取量（条/天）</t>
  </si>
  <si>
    <t>日均代理流量（GB/天）</t>
  </si>
  <si>
    <t>日均代理费用（元/天）</t>
  </si>
  <si>
    <t>单轮代理流量（GB）</t>
  </si>
  <si>
    <t>单轮代理费用（元）</t>
  </si>
  <si>
    <t>年度代理费用（元）</t>
  </si>
  <si>
    <t>单轮结构化文本（GB）</t>
  </si>
  <si>
    <t>年度结构化文本（GB）</t>
  </si>
  <si>
    <t>HBase规划容量（TB）</t>
  </si>
  <si>
    <t>Facebook</t>
  </si>
  <si>
    <t>Instagram</t>
  </si>
  <si>
    <t>TikTok</t>
  </si>
  <si>
    <t>X</t>
  </si>
  <si>
    <t>VPS 费用</t>
  </si>
  <si>
    <t>HBase 不再按 VPS 数据节点自建；VPS 计入预算时，27 台节点统一按高配计算。</t>
  </si>
  <si>
    <t>档位</t>
  </si>
  <si>
    <t>月费用（元/台）</t>
  </si>
  <si>
    <t>规格</t>
  </si>
  <si>
    <t>系统盘</t>
  </si>
  <si>
    <t>公网</t>
  </si>
  <si>
    <t>固定公网地址</t>
  </si>
  <si>
    <t>低配</t>
  </si>
  <si>
    <t>8 vCPU / 16 GiB</t>
  </si>
  <si>
    <t>300 GiB</t>
  </si>
  <si>
    <t>200 Mbps，无固定流量</t>
  </si>
  <si>
    <t>1 IPv4</t>
  </si>
  <si>
    <t>中配</t>
  </si>
  <si>
    <t>8 vCPU / 32 GiB</t>
  </si>
  <si>
    <t>360 GiB</t>
  </si>
  <si>
    <t>高配</t>
  </si>
  <si>
    <t>16 vCPU / 32 GiB</t>
  </si>
  <si>
    <t>420 GiB</t>
  </si>
  <si>
    <t>资源类型</t>
  </si>
  <si>
    <t>数量</t>
  </si>
  <si>
    <t>计入档位</t>
  </si>
  <si>
    <t>单价（元/月）</t>
  </si>
  <si>
    <t>年费用（万元）</t>
  </si>
  <si>
    <t>通用爬虫节点</t>
  </si>
  <si>
    <t>高配，16 vCPU / 32 GiB / 420 GiB</t>
  </si>
  <si>
    <t>TikTok 专用节点</t>
  </si>
  <si>
    <t>解析/调度节点</t>
  </si>
  <si>
    <t>关系型数据库节点</t>
  </si>
  <si>
    <t>HBase 服务费用</t>
  </si>
  <si>
    <t>采用阿里云 HBase 服务按月计费；HBase 只保存文字、评论、用户信息等结构化文本，不长期存储图片和视频。</t>
  </si>
  <si>
    <t>项目</t>
  </si>
  <si>
    <t>Core 规格</t>
  </si>
  <si>
    <t>8 核 32GB</t>
  </si>
  <si>
    <t>截图口径</t>
  </si>
  <si>
    <t>Core 节点数量</t>
  </si>
  <si>
    <t>个</t>
  </si>
  <si>
    <t>单节点容量</t>
  </si>
  <si>
    <t>GB</t>
  </si>
  <si>
    <t>总容量</t>
  </si>
  <si>
    <t>2 × 2080GB</t>
  </si>
  <si>
    <t>实际可用容量</t>
  </si>
  <si>
    <t>TB</t>
  </si>
  <si>
    <t>双副本后约一半可用</t>
  </si>
  <si>
    <t>当前工程规划容量</t>
  </si>
  <si>
    <t>年度结构化文本 × 2 副本 × 30% 预留</t>
  </si>
  <si>
    <t>月费用</t>
  </si>
  <si>
    <t>按月计费</t>
  </si>
  <si>
    <t>年费用</t>
  </si>
  <si>
    <t>元/年</t>
  </si>
  <si>
    <t>月费用 × 12</t>
  </si>
  <si>
    <t>年费用折算</t>
  </si>
  <si>
    <t>万元/年</t>
  </si>
  <si>
    <t>账号及损耗费用</t>
  </si>
  <si>
    <t>Facebook、Instagram、X 各 1000 个账号池，月损耗率 50%；TikTok 不配置账号。</t>
  </si>
  <si>
    <t>账号池（个）</t>
  </si>
  <si>
    <t>月损耗率</t>
  </si>
  <si>
    <t>月补充账号（个）</t>
  </si>
  <si>
    <t>账号单价（元/个）</t>
  </si>
  <si>
    <t>初始费用（元）</t>
  </si>
  <si>
    <t>月补充费用（元）</t>
  </si>
  <si>
    <t>年补充费用（元）</t>
  </si>
  <si>
    <t>本地 SSD/HDD 存储</t>
  </si>
  <si>
    <t>按确定口径，本地 SSD 和 HDD 均按 10TB 配置；只用于结构化文本数据，不长期存储图片和视频。</t>
  </si>
  <si>
    <t>存储类型</t>
  </si>
  <si>
    <t>规划容量</t>
  </si>
  <si>
    <t>2TB 参考价（元）</t>
  </si>
  <si>
    <t>10TB 费用（元）</t>
  </si>
  <si>
    <t>费用（万元）</t>
  </si>
  <si>
    <t>SSD 2TB 截图价 3,282.51 元 × 5；不按图片/视频容量估算</t>
  </si>
  <si>
    <t>HDD 2TB 截图价 1,358 元 × 5；不按图片/视频容量估算</t>
  </si>
  <si>
    <t>20TB</t>
  </si>
  <si>
    <t>计算公式与口径</t>
  </si>
  <si>
    <t>本页保留审计口径；长期存储只按文字、评论、用户信息等结构化文本计算。</t>
  </si>
  <si>
    <t>模块</t>
  </si>
  <si>
    <t>公式/口径</t>
  </si>
  <si>
    <t>当前结果</t>
  </si>
  <si>
    <t>日均爬取量</t>
  </si>
  <si>
    <t>平台用户表规模 / 60 天</t>
  </si>
  <si>
    <t>合计 124.35 万条/天</t>
  </si>
  <si>
    <t>代理计费流量</t>
  </si>
  <si>
    <t>5KB/条 × 1.2 = 6KB/条</t>
  </si>
  <si>
    <t>年度代理费用 16.44 万元</t>
  </si>
  <si>
    <t>HBase 容量</t>
  </si>
  <si>
    <t>年度结构化文本 × 2 副本 × 1.3 预留</t>
  </si>
  <si>
    <t>1.16TB</t>
  </si>
  <si>
    <t>VPS 预算口径</t>
  </si>
  <si>
    <t>27 台 × 2,552 元/月 × 12 月</t>
  </si>
  <si>
    <t>82.68 万元/年</t>
  </si>
  <si>
    <t>HBase 服务</t>
  </si>
  <si>
    <t>12.32 万元/年</t>
  </si>
  <si>
    <t>账号初始池</t>
  </si>
  <si>
    <t>7.50 万元</t>
  </si>
  <si>
    <t>账号年补充</t>
  </si>
  <si>
    <t>每月补充 1500 个 × 25 元 × 12 月</t>
  </si>
  <si>
    <t>45.00 万元</t>
  </si>
  <si>
    <t>3,282.51 元 × 5</t>
  </si>
  <si>
    <t>1.64 万元</t>
  </si>
  <si>
    <t>1,358 元 × 5</t>
  </si>
  <si>
    <t>0.68 万元</t>
  </si>
  <si>
    <t>代理 + VPS 预算口径 + HBase 服务 + 初始账号 + 年账号补充 + SSD + HDD</t>
  </si>
  <si>
    <t>166.26 万元</t>
  </si>
  <si>
    <t>图片和视频不做长期存储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</si>
</sst>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rgb="FFFFFFFF"/>
      <name val="Microsoft YaHei"/>
      <charset val="134"/>
    </font>
    <font>
      <sz val="9"/>
      <color rgb="FF666666"/>
      <name val="Microsoft YaHei"/>
      <charset val="134"/>
    </font>
    <font>
      <b/>
      <sz val="11"/>
      <color rgb="FF1F1F1F"/>
      <name val="Microsoft YaHei"/>
      <charset val="134"/>
    </font>
    <font>
      <sz val="10"/>
      <name val="Microsoft YaHei"/>
      <charset val="134"/>
    </font>
    <font>
      <sz val="12"/>
      <color rgb="FFFF0000"/>
      <name val="Microsoft YaHei"/>
      <charset val="134"/>
    </font>
    <font>
      <b/>
      <sz val="1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4" fontId="4" fillId="0" borderId="1" xfId="0" applyNumberFormat="1" applyFont="1" applyBorder="1" applyAlignment="1">
      <alignment horizontal="left" vertical="center" wrapText="1"/>
    </xf>
    <xf numFmtId="2" fontId="4" fillId="0" borderId="1" xfId="0" applyNumberFormat="1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4" fontId="4" fillId="4" borderId="1" xfId="0" applyNumberFormat="1" applyFont="1" applyFill="1" applyBorder="1" applyAlignment="1">
      <alignment horizontal="left" vertical="center" wrapText="1"/>
    </xf>
    <xf numFmtId="2" fontId="4" fillId="4" borderId="1" xfId="0" applyNumberFormat="1" applyFont="1" applyFill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4" borderId="1" xfId="0" applyFont="1" applyFill="1" applyBorder="1"/>
    <xf numFmtId="4" fontId="0" fillId="0" borderId="1" xfId="0" applyNumberFormat="1" applyBorder="1" applyAlignment="1">
      <alignment horizontal="right" vertical="center"/>
    </xf>
    <xf numFmtId="2" fontId="0" fillId="0" borderId="1" xfId="0" applyNumberFormat="1" applyBorder="1" applyAlignment="1">
      <alignment horizontal="right" vertical="center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首年预算费用构成（万元）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总汇总!$F$6</c:f>
              <c:strCache>
                <c:ptCount val="1"/>
                <c:pt idx="0">
                  <c:v>金额（万元）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总汇总!$B$7:$B$13</c:f>
              <c:strCache>
                <c:ptCount val="7"/>
                <c:pt idx="0">
                  <c:v>年度代理流量费用</c:v>
                </c:pt>
                <c:pt idx="1">
                  <c:v>年度 VPS 费用</c:v>
                </c:pt>
                <c:pt idx="2">
                  <c:v>年度 HBase 服务费用</c:v>
                </c:pt>
                <c:pt idx="3">
                  <c:v>初始账号池</c:v>
                </c:pt>
                <c:pt idx="4">
                  <c:v>年账号补充费用</c:v>
                </c:pt>
                <c:pt idx="5">
                  <c:v>本地 SSD</c:v>
                </c:pt>
                <c:pt idx="6">
                  <c:v>本地 HDD</c:v>
                </c:pt>
              </c:strCache>
            </c:strRef>
          </c:cat>
          <c:val>
            <c:numRef>
              <c:f>总汇总!$F$7:$F$13</c:f>
              <c:numCache>
                <c:formatCode>0.00</c:formatCode>
                <c:ptCount val="7"/>
                <c:pt idx="0">
                  <c:v>16.4380752</c:v>
                </c:pt>
                <c:pt idx="1">
                  <c:v>82.6848</c:v>
                </c:pt>
                <c:pt idx="2">
                  <c:v>12.31632</c:v>
                </c:pt>
                <c:pt idx="3">
                  <c:v>7.5</c:v>
                </c:pt>
                <c:pt idx="4">
                  <c:v>45</c:v>
                </c:pt>
                <c:pt idx="5">
                  <c:v>1.641255</c:v>
                </c:pt>
                <c:pt idx="6">
                  <c:v>0.679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万元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费用项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e7099e2-6b90-469e-ba92-87caba78945a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2</xdr:row>
      <xdr:rowOff>0</xdr:rowOff>
    </xdr:from>
    <xdr:ext cx="5400000" cy="2880000"/>
    <xdr:graphicFrame>
      <xdr:nvGraphicFramePr>
        <xdr:cNvPr id="2" name="Chart 1"/>
        <xdr:cNvGraphicFramePr/>
      </xdr:nvGraphicFramePr>
      <xdr:xfrm>
        <a:off x="15582900" y="965200"/>
        <a:ext cx="5399405" cy="28797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showGridLines="0" tabSelected="1" workbookViewId="0">
      <pane ySplit="3" topLeftCell="A4" activePane="bottomLeft" state="frozen"/>
      <selection/>
      <selection pane="bottomLeft" activeCell="A1" sqref="A1:H1"/>
    </sheetView>
  </sheetViews>
  <sheetFormatPr defaultColWidth="9" defaultRowHeight="18" outlineLevelCol="7"/>
  <cols>
    <col min="1" max="1" width="13.5" customWidth="1"/>
    <col min="2" max="2" width="22" customWidth="1"/>
    <col min="3" max="3" width="56" customWidth="1"/>
    <col min="4" max="4" width="16" customWidth="1"/>
    <col min="5" max="5" width="18" customWidth="1"/>
    <col min="6" max="6" width="14" customWidth="1"/>
    <col min="7" max="7" width="12" customWidth="1"/>
    <col min="8" max="8" width="44" customWidth="1"/>
    <col min="10" max="10" width="18" customWidth="1"/>
  </cols>
  <sheetData>
    <row r="1" ht="34" customHeight="1" spans="1:8">
      <c r="A1" s="1" t="s">
        <v>0</v>
      </c>
    </row>
    <row r="2" ht="42" customHeight="1" spans="1:8">
      <c r="A2" s="12" t="s">
        <v>1</v>
      </c>
    </row>
    <row r="3" ht="30" customHeight="1" spans="1:8">
      <c r="A3" s="13" t="s">
        <v>2</v>
      </c>
      <c r="B3" s="14">
        <v>1662594.502</v>
      </c>
      <c r="C3" s="15">
        <v>166.2594502</v>
      </c>
      <c r="D3" s="16" t="s">
        <v>3</v>
      </c>
    </row>
    <row r="4" ht="30" customHeight="1"/>
    <row r="5" ht="30" customHeight="1"/>
    <row r="6" ht="30" customHeight="1" spans="1:8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</row>
    <row r="7" ht="30" customHeight="1" spans="1:8">
      <c r="A7" s="4">
        <v>1</v>
      </c>
      <c r="B7" s="4" t="s">
        <v>12</v>
      </c>
      <c r="C7" s="4" t="s">
        <v>13</v>
      </c>
      <c r="D7" s="5">
        <v>13698.396</v>
      </c>
      <c r="E7" s="5">
        <v>164380.752</v>
      </c>
      <c r="F7" s="6">
        <v>16.4380752</v>
      </c>
      <c r="G7" s="4" t="s">
        <v>14</v>
      </c>
      <c r="H7" s="4" t="s">
        <v>15</v>
      </c>
    </row>
    <row r="8" ht="30" customHeight="1" spans="1:8">
      <c r="A8" s="4">
        <v>2</v>
      </c>
      <c r="B8" s="4" t="s">
        <v>16</v>
      </c>
      <c r="C8" s="4" t="s">
        <v>17</v>
      </c>
      <c r="D8" s="5">
        <v>68904</v>
      </c>
      <c r="E8" s="5">
        <v>826848</v>
      </c>
      <c r="F8" s="6">
        <v>82.6848</v>
      </c>
      <c r="G8" s="4" t="s">
        <v>14</v>
      </c>
      <c r="H8" s="4" t="s">
        <v>18</v>
      </c>
    </row>
    <row r="9" ht="30" customHeight="1" spans="1:8">
      <c r="A9" s="4">
        <v>3</v>
      </c>
      <c r="B9" s="4" t="s">
        <v>19</v>
      </c>
      <c r="C9" s="4" t="s">
        <v>20</v>
      </c>
      <c r="D9" s="5">
        <v>10263.6</v>
      </c>
      <c r="E9" s="5">
        <v>123163.2</v>
      </c>
      <c r="F9" s="6">
        <v>12.31632</v>
      </c>
      <c r="G9" s="4" t="s">
        <v>14</v>
      </c>
      <c r="H9" s="4" t="s">
        <v>21</v>
      </c>
    </row>
    <row r="10" ht="30" customHeight="1" spans="1:8">
      <c r="A10" s="4">
        <v>4</v>
      </c>
      <c r="B10" s="4" t="s">
        <v>22</v>
      </c>
      <c r="C10" s="4" t="s">
        <v>23</v>
      </c>
      <c r="D10" s="5"/>
      <c r="E10" s="5">
        <v>75000</v>
      </c>
      <c r="F10" s="6">
        <v>7.5</v>
      </c>
      <c r="G10" s="4" t="s">
        <v>14</v>
      </c>
      <c r="H10" s="4" t="s">
        <v>24</v>
      </c>
    </row>
    <row r="11" ht="30" customHeight="1" spans="1:8">
      <c r="A11" s="4">
        <v>5</v>
      </c>
      <c r="B11" s="4" t="s">
        <v>25</v>
      </c>
      <c r="C11" s="4" t="s">
        <v>26</v>
      </c>
      <c r="D11" s="5">
        <v>37500</v>
      </c>
      <c r="E11" s="5">
        <v>450000</v>
      </c>
      <c r="F11" s="6">
        <v>45</v>
      </c>
      <c r="G11" s="4" t="s">
        <v>14</v>
      </c>
      <c r="H11" s="4" t="s">
        <v>27</v>
      </c>
    </row>
    <row r="12" ht="30" customHeight="1" spans="1:8">
      <c r="A12" s="4">
        <v>6</v>
      </c>
      <c r="B12" s="4" t="s">
        <v>28</v>
      </c>
      <c r="C12" s="4" t="s">
        <v>29</v>
      </c>
      <c r="D12" s="5"/>
      <c r="E12" s="5">
        <v>16412.55</v>
      </c>
      <c r="F12" s="6">
        <v>1.641255</v>
      </c>
      <c r="G12" s="4" t="s">
        <v>14</v>
      </c>
      <c r="H12" s="4" t="s">
        <v>30</v>
      </c>
    </row>
    <row r="13" ht="30" customHeight="1" spans="1:8">
      <c r="A13" s="4">
        <v>7</v>
      </c>
      <c r="B13" s="4" t="s">
        <v>31</v>
      </c>
      <c r="C13" s="4" t="s">
        <v>32</v>
      </c>
      <c r="D13" s="5"/>
      <c r="E13" s="5">
        <v>6790</v>
      </c>
      <c r="F13" s="6">
        <v>0.679</v>
      </c>
      <c r="G13" s="4" t="s">
        <v>14</v>
      </c>
      <c r="H13" s="4" t="s">
        <v>30</v>
      </c>
    </row>
    <row r="14" ht="30" customHeight="1" spans="1:8">
      <c r="A14" s="7" t="s">
        <v>33</v>
      </c>
      <c r="B14" s="7" t="s">
        <v>34</v>
      </c>
      <c r="C14" s="7" t="s">
        <v>2</v>
      </c>
      <c r="D14" s="8"/>
      <c r="E14" s="8">
        <v>1662594.502</v>
      </c>
      <c r="F14" s="9">
        <v>166.2594502</v>
      </c>
      <c r="G14" s="7" t="s">
        <v>14</v>
      </c>
      <c r="H14" s="7" t="s">
        <v>35</v>
      </c>
    </row>
  </sheetData>
  <mergeCells count="2">
    <mergeCell ref="A1:H1"/>
    <mergeCell ref="A2:H2"/>
  </mergeCells>
  <pageMargins left="0.75" right="0.75" top="1" bottom="1" header="0.5" footer="0.5"/>
  <pageSetup paperSize="1" fitToHeight="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20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8" outlineLevelCol="7"/>
  <cols>
    <col min="1" max="1" width="24" customWidth="1"/>
    <col min="2" max="2" width="36" customWidth="1"/>
    <col min="3" max="3" width="14" customWidth="1"/>
    <col min="4" max="4" width="52" customWidth="1"/>
  </cols>
  <sheetData>
    <row r="1" ht="34" customHeight="1" spans="1:4">
      <c r="A1" s="1" t="s">
        <v>36</v>
      </c>
    </row>
    <row r="2" ht="42" customHeight="1" spans="1:4">
      <c r="A2" s="2" t="s">
        <v>37</v>
      </c>
    </row>
    <row r="3" ht="30" customHeight="1"/>
    <row r="4" ht="30" customHeight="1" spans="1:4">
      <c r="A4" s="3" t="s">
        <v>38</v>
      </c>
      <c r="B4" s="3" t="s">
        <v>39</v>
      </c>
      <c r="C4" s="3" t="s">
        <v>40</v>
      </c>
      <c r="D4" s="3" t="s">
        <v>41</v>
      </c>
    </row>
    <row r="5" ht="30" customHeight="1" spans="1:4">
      <c r="A5" s="4" t="s">
        <v>42</v>
      </c>
      <c r="B5" s="4" t="s">
        <v>43</v>
      </c>
      <c r="C5" s="4" t="s">
        <v>44</v>
      </c>
      <c r="D5" s="4" t="s">
        <v>45</v>
      </c>
    </row>
    <row r="6" ht="30" customHeight="1" spans="1:4">
      <c r="A6" s="4" t="s">
        <v>46</v>
      </c>
      <c r="B6" s="4" t="s">
        <v>47</v>
      </c>
      <c r="C6" s="4" t="s">
        <v>44</v>
      </c>
      <c r="D6" s="4" t="s">
        <v>48</v>
      </c>
    </row>
    <row r="7" ht="30" customHeight="1" spans="1:4">
      <c r="A7" s="4" t="s">
        <v>49</v>
      </c>
      <c r="B7" s="4" t="s">
        <v>50</v>
      </c>
      <c r="C7" s="4" t="s">
        <v>44</v>
      </c>
      <c r="D7" s="4" t="s">
        <v>51</v>
      </c>
    </row>
    <row r="8" ht="30" customHeight="1" spans="1:4">
      <c r="A8" s="4" t="s">
        <v>52</v>
      </c>
      <c r="B8" s="4" t="s">
        <v>53</v>
      </c>
      <c r="C8" s="4" t="s">
        <v>44</v>
      </c>
      <c r="D8" s="4" t="s">
        <v>54</v>
      </c>
    </row>
    <row r="9" ht="30" customHeight="1" spans="1:4">
      <c r="A9" s="4" t="s">
        <v>55</v>
      </c>
      <c r="B9" s="11">
        <v>74610000</v>
      </c>
      <c r="C9" s="4" t="s">
        <v>56</v>
      </c>
      <c r="D9" s="4" t="s">
        <v>57</v>
      </c>
    </row>
    <row r="10" ht="30" customHeight="1" spans="1:4">
      <c r="A10" s="4" t="s">
        <v>58</v>
      </c>
      <c r="B10" s="11">
        <v>60</v>
      </c>
      <c r="C10" s="4" t="s">
        <v>59</v>
      </c>
      <c r="D10" s="4" t="s">
        <v>60</v>
      </c>
    </row>
    <row r="11" ht="30" customHeight="1" spans="1:4">
      <c r="A11" s="4" t="s">
        <v>61</v>
      </c>
      <c r="B11" s="11">
        <v>12</v>
      </c>
      <c r="C11" s="4" t="s">
        <v>62</v>
      </c>
      <c r="D11" s="4" t="s">
        <v>63</v>
      </c>
    </row>
    <row r="12" ht="30" customHeight="1" spans="1:4">
      <c r="A12" s="4" t="s">
        <v>64</v>
      </c>
      <c r="B12" s="11">
        <v>5</v>
      </c>
      <c r="C12" s="4" t="s">
        <v>65</v>
      </c>
      <c r="D12" s="4" t="s">
        <v>66</v>
      </c>
    </row>
    <row r="13" ht="30" customHeight="1" spans="1:4">
      <c r="A13" s="4" t="s">
        <v>67</v>
      </c>
      <c r="B13" s="5">
        <v>0.2</v>
      </c>
      <c r="C13" s="4" t="s">
        <v>68</v>
      </c>
      <c r="D13" s="4" t="s">
        <v>69</v>
      </c>
    </row>
    <row r="14" ht="30" customHeight="1" spans="1:4">
      <c r="A14" s="4" t="s">
        <v>70</v>
      </c>
      <c r="B14" s="5">
        <v>6</v>
      </c>
      <c r="C14" s="4" t="s">
        <v>65</v>
      </c>
      <c r="D14" s="4" t="s">
        <v>71</v>
      </c>
    </row>
    <row r="15" ht="30" customHeight="1" spans="1:4">
      <c r="A15" s="4" t="s">
        <v>72</v>
      </c>
      <c r="B15" s="5">
        <v>61.2</v>
      </c>
      <c r="C15" s="4" t="s">
        <v>73</v>
      </c>
      <c r="D15" s="4" t="s">
        <v>74</v>
      </c>
    </row>
    <row r="16" ht="30" customHeight="1" spans="1:4">
      <c r="A16" s="4" t="s">
        <v>75</v>
      </c>
      <c r="B16" s="11">
        <v>1</v>
      </c>
      <c r="C16" s="4" t="s">
        <v>65</v>
      </c>
      <c r="D16" s="4" t="s">
        <v>76</v>
      </c>
    </row>
    <row r="17" ht="30" customHeight="1" spans="1:4">
      <c r="A17" s="4" t="s">
        <v>77</v>
      </c>
      <c r="B17" s="5">
        <v>2.6</v>
      </c>
      <c r="C17" s="4" t="s">
        <v>78</v>
      </c>
      <c r="D17" s="4" t="s">
        <v>79</v>
      </c>
    </row>
    <row r="18" ht="30" customHeight="1" spans="1:4">
      <c r="A18" s="4" t="s">
        <v>80</v>
      </c>
      <c r="B18" s="5">
        <v>10263.6</v>
      </c>
      <c r="C18" s="4" t="s">
        <v>81</v>
      </c>
      <c r="D18" s="4" t="s">
        <v>82</v>
      </c>
    </row>
    <row r="19" ht="30" customHeight="1" spans="1:4">
      <c r="A19" s="4" t="s">
        <v>28</v>
      </c>
      <c r="B19" s="5">
        <v>16412.55</v>
      </c>
      <c r="C19" s="4" t="s">
        <v>83</v>
      </c>
      <c r="D19" s="4" t="s">
        <v>84</v>
      </c>
    </row>
    <row r="20" ht="30" customHeight="1" spans="1:4">
      <c r="A20" s="4" t="s">
        <v>31</v>
      </c>
      <c r="B20" s="11">
        <v>6790</v>
      </c>
      <c r="C20" s="4" t="s">
        <v>83</v>
      </c>
      <c r="D20" s="4" t="s">
        <v>84</v>
      </c>
    </row>
  </sheetData>
  <mergeCells count="2">
    <mergeCell ref="A1:H1"/>
    <mergeCell ref="A2:H2"/>
  </mergeCells>
  <pageMargins left="0.75" right="0.75" top="1" bottom="1" header="0.5" footer="0.5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9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8"/>
  <cols>
    <col min="1" max="1" width="14" customWidth="1"/>
    <col min="2" max="2" width="18" customWidth="1"/>
    <col min="3" max="5" width="20" customWidth="1"/>
    <col min="6" max="6" width="22" customWidth="1"/>
    <col min="7" max="7" width="18" customWidth="1"/>
    <col min="8" max="9" width="22" customWidth="1"/>
    <col min="10" max="11" width="24" customWidth="1"/>
  </cols>
  <sheetData>
    <row r="1" ht="34" customHeight="1" spans="1:11">
      <c r="A1" s="1" t="s">
        <v>85</v>
      </c>
    </row>
    <row r="2" ht="42" customHeight="1" spans="1:11">
      <c r="A2" s="2" t="s">
        <v>86</v>
      </c>
    </row>
    <row r="3" ht="30" customHeight="1"/>
    <row r="4" ht="30" customHeight="1" spans="1:11">
      <c r="A4" s="3" t="s">
        <v>87</v>
      </c>
      <c r="B4" s="3" t="s">
        <v>88</v>
      </c>
      <c r="C4" s="3" t="s">
        <v>89</v>
      </c>
      <c r="D4" s="3" t="s">
        <v>90</v>
      </c>
      <c r="E4" s="3" t="s">
        <v>91</v>
      </c>
      <c r="F4" s="3" t="s">
        <v>92</v>
      </c>
      <c r="G4" s="3" t="s">
        <v>93</v>
      </c>
      <c r="H4" s="3" t="s">
        <v>94</v>
      </c>
      <c r="I4" s="3" t="s">
        <v>95</v>
      </c>
      <c r="J4" s="3" t="s">
        <v>96</v>
      </c>
      <c r="K4" s="3" t="s">
        <v>97</v>
      </c>
    </row>
    <row r="5" ht="30" customHeight="1" spans="1:11">
      <c r="A5" s="4" t="s">
        <v>98</v>
      </c>
      <c r="B5" s="5">
        <v>23000000</v>
      </c>
      <c r="C5" s="5">
        <v>383333.333333333</v>
      </c>
      <c r="D5" s="5">
        <v>2.3</v>
      </c>
      <c r="E5" s="5">
        <v>140.76</v>
      </c>
      <c r="F5" s="5">
        <v>138</v>
      </c>
      <c r="G5" s="5">
        <v>8445.6</v>
      </c>
      <c r="H5" s="5">
        <v>50673.6</v>
      </c>
      <c r="I5" s="5">
        <v>23</v>
      </c>
      <c r="J5" s="5">
        <v>138</v>
      </c>
      <c r="K5" s="5">
        <v>0.3588</v>
      </c>
    </row>
    <row r="6" ht="30" customHeight="1" spans="1:11">
      <c r="A6" s="4" t="s">
        <v>99</v>
      </c>
      <c r="B6" s="5">
        <v>16100000</v>
      </c>
      <c r="C6" s="5">
        <v>268333.333333333</v>
      </c>
      <c r="D6" s="5">
        <v>1.61</v>
      </c>
      <c r="E6" s="5">
        <v>98.532</v>
      </c>
      <c r="F6" s="5">
        <v>96.6</v>
      </c>
      <c r="G6" s="5">
        <v>5911.92</v>
      </c>
      <c r="H6" s="5">
        <v>35471.52</v>
      </c>
      <c r="I6" s="5">
        <v>16.1</v>
      </c>
      <c r="J6" s="5">
        <v>96.6</v>
      </c>
      <c r="K6" s="5">
        <v>0.25116</v>
      </c>
    </row>
    <row r="7" ht="30" customHeight="1" spans="1:11">
      <c r="A7" s="4" t="s">
        <v>100</v>
      </c>
      <c r="B7" s="5">
        <v>30700000</v>
      </c>
      <c r="C7" s="5">
        <v>511666.666666667</v>
      </c>
      <c r="D7" s="5">
        <v>3.07</v>
      </c>
      <c r="E7" s="5">
        <v>187.884</v>
      </c>
      <c r="F7" s="5">
        <v>184.2</v>
      </c>
      <c r="G7" s="5">
        <v>11273.04</v>
      </c>
      <c r="H7" s="5">
        <v>67638.24</v>
      </c>
      <c r="I7" s="5">
        <v>30.7</v>
      </c>
      <c r="J7" s="5">
        <v>184.2</v>
      </c>
      <c r="K7" s="5">
        <v>0.47892</v>
      </c>
    </row>
    <row r="8" ht="30" customHeight="1" spans="1:11">
      <c r="A8" s="4" t="s">
        <v>101</v>
      </c>
      <c r="B8" s="5">
        <v>4810000</v>
      </c>
      <c r="C8" s="5">
        <v>80166.6666666667</v>
      </c>
      <c r="D8" s="5">
        <v>0.481</v>
      </c>
      <c r="E8" s="5">
        <v>29.4372</v>
      </c>
      <c r="F8" s="5">
        <v>28.86</v>
      </c>
      <c r="G8" s="5">
        <v>1766.232</v>
      </c>
      <c r="H8" s="5">
        <v>10597.392</v>
      </c>
      <c r="I8" s="5">
        <v>4.81</v>
      </c>
      <c r="J8" s="5">
        <v>28.86</v>
      </c>
      <c r="K8" s="5">
        <v>0.075036</v>
      </c>
    </row>
    <row r="9" ht="30" customHeight="1" spans="1:11">
      <c r="A9" s="7" t="s">
        <v>34</v>
      </c>
      <c r="B9" s="8">
        <v>74610000</v>
      </c>
      <c r="C9" s="8">
        <v>1243500</v>
      </c>
      <c r="D9" s="8">
        <v>7.461</v>
      </c>
      <c r="E9" s="8">
        <v>456.6132</v>
      </c>
      <c r="F9" s="8">
        <v>447.66</v>
      </c>
      <c r="G9" s="8">
        <v>27396.792</v>
      </c>
      <c r="H9" s="8">
        <v>164380.752</v>
      </c>
      <c r="I9" s="8">
        <v>74.61</v>
      </c>
      <c r="J9" s="8">
        <v>447.66</v>
      </c>
      <c r="K9" s="8">
        <v>1.163916</v>
      </c>
    </row>
  </sheetData>
  <mergeCells count="2">
    <mergeCell ref="A1:H1"/>
    <mergeCell ref="A2:H2"/>
  </mergeCells>
  <pageMargins left="0.75" right="0.75" top="1" bottom="1" header="0.5" footer="0.5"/>
  <pageSetup paperSize="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5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8" outlineLevelCol="7"/>
  <cols>
    <col min="1" max="1" width="20" customWidth="1"/>
    <col min="2" max="2" width="12" customWidth="1"/>
    <col min="3" max="3" width="36" customWidth="1"/>
    <col min="4" max="6" width="16" customWidth="1"/>
  </cols>
  <sheetData>
    <row r="1" ht="34" customHeight="1" spans="1:6">
      <c r="A1" s="1" t="s">
        <v>102</v>
      </c>
    </row>
    <row r="2" ht="42" customHeight="1" spans="1:6">
      <c r="A2" s="2" t="s">
        <v>103</v>
      </c>
    </row>
    <row r="3" ht="30" customHeight="1"/>
    <row r="4" ht="30" customHeight="1" spans="1:6">
      <c r="A4" s="3" t="s">
        <v>104</v>
      </c>
      <c r="B4" s="3" t="s">
        <v>105</v>
      </c>
      <c r="C4" s="3" t="s">
        <v>106</v>
      </c>
      <c r="D4" s="3" t="s">
        <v>107</v>
      </c>
      <c r="E4" s="3" t="s">
        <v>108</v>
      </c>
      <c r="F4" s="3" t="s">
        <v>109</v>
      </c>
    </row>
    <row r="5" ht="30" customHeight="1" spans="1:6">
      <c r="A5" s="4" t="s">
        <v>110</v>
      </c>
      <c r="B5" s="5">
        <v>1276</v>
      </c>
      <c r="C5" s="4" t="s">
        <v>111</v>
      </c>
      <c r="D5" s="4" t="s">
        <v>112</v>
      </c>
      <c r="E5" s="4" t="s">
        <v>113</v>
      </c>
      <c r="F5" s="4" t="s">
        <v>114</v>
      </c>
    </row>
    <row r="6" ht="30" customHeight="1" spans="1:6">
      <c r="A6" s="4" t="s">
        <v>115</v>
      </c>
      <c r="B6" s="5">
        <v>1628</v>
      </c>
      <c r="C6" s="4" t="s">
        <v>116</v>
      </c>
      <c r="D6" s="4" t="s">
        <v>117</v>
      </c>
      <c r="E6" s="4" t="s">
        <v>113</v>
      </c>
      <c r="F6" s="4" t="s">
        <v>114</v>
      </c>
    </row>
    <row r="7" ht="30" customHeight="1" spans="1:6">
      <c r="A7" s="4" t="s">
        <v>118</v>
      </c>
      <c r="B7" s="5">
        <v>2552</v>
      </c>
      <c r="C7" s="4" t="s">
        <v>119</v>
      </c>
      <c r="D7" s="4" t="s">
        <v>120</v>
      </c>
      <c r="E7" s="4" t="s">
        <v>113</v>
      </c>
      <c r="F7" s="4" t="s">
        <v>114</v>
      </c>
    </row>
    <row r="8" ht="30" customHeight="1"/>
    <row r="9" ht="30" customHeight="1"/>
    <row r="10" ht="30" customHeight="1" spans="1:6">
      <c r="A10" s="3" t="s">
        <v>121</v>
      </c>
      <c r="B10" s="3" t="s">
        <v>122</v>
      </c>
      <c r="C10" s="3" t="s">
        <v>123</v>
      </c>
      <c r="D10" s="3" t="s">
        <v>124</v>
      </c>
      <c r="E10" s="3" t="s">
        <v>7</v>
      </c>
      <c r="F10" s="3" t="s">
        <v>125</v>
      </c>
    </row>
    <row r="11" ht="30" customHeight="1" spans="1:6">
      <c r="A11" s="4" t="s">
        <v>126</v>
      </c>
      <c r="B11" s="4">
        <v>15</v>
      </c>
      <c r="C11" s="4" t="s">
        <v>127</v>
      </c>
      <c r="D11" s="5">
        <v>2552</v>
      </c>
      <c r="E11" s="5">
        <v>38280</v>
      </c>
      <c r="F11" s="6">
        <v>45.936</v>
      </c>
    </row>
    <row r="12" ht="30" customHeight="1" spans="1:6">
      <c r="A12" s="4" t="s">
        <v>128</v>
      </c>
      <c r="B12" s="4">
        <v>6</v>
      </c>
      <c r="C12" s="4" t="s">
        <v>127</v>
      </c>
      <c r="D12" s="5">
        <v>2552</v>
      </c>
      <c r="E12" s="5">
        <v>15312</v>
      </c>
      <c r="F12" s="6">
        <v>18.3744</v>
      </c>
    </row>
    <row r="13" ht="30" customHeight="1" spans="1:6">
      <c r="A13" s="4" t="s">
        <v>129</v>
      </c>
      <c r="B13" s="4">
        <v>4</v>
      </c>
      <c r="C13" s="4" t="s">
        <v>127</v>
      </c>
      <c r="D13" s="5">
        <v>2552</v>
      </c>
      <c r="E13" s="5">
        <v>10208</v>
      </c>
      <c r="F13" s="6">
        <v>12.2496</v>
      </c>
    </row>
    <row r="14" ht="30" customHeight="1" spans="1:6">
      <c r="A14" s="4" t="s">
        <v>130</v>
      </c>
      <c r="B14" s="4">
        <v>2</v>
      </c>
      <c r="C14" s="4" t="s">
        <v>127</v>
      </c>
      <c r="D14" s="5">
        <v>2552</v>
      </c>
      <c r="E14" s="5">
        <v>5104</v>
      </c>
      <c r="F14" s="6">
        <v>6.1248</v>
      </c>
    </row>
    <row r="15" ht="30" customHeight="1" spans="1:6">
      <c r="A15" s="7" t="s">
        <v>34</v>
      </c>
      <c r="B15" s="7">
        <v>27</v>
      </c>
      <c r="C15" s="7" t="s">
        <v>44</v>
      </c>
      <c r="D15" s="7"/>
      <c r="E15" s="8">
        <v>68904</v>
      </c>
      <c r="F15" s="9">
        <v>82.6848</v>
      </c>
    </row>
  </sheetData>
  <mergeCells count="2">
    <mergeCell ref="A1:H1"/>
    <mergeCell ref="A2:H2"/>
  </mergeCells>
  <pageMargins left="0.75" right="0.75" top="1" bottom="1" header="0.5" footer="0.5"/>
  <pageSetup paperSize="1" fitToHeight="0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3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8" outlineLevelCol="7"/>
  <cols>
    <col min="1" max="1" width="22" customWidth="1"/>
    <col min="2" max="2" width="18" customWidth="1"/>
    <col min="3" max="3" width="14" customWidth="1"/>
    <col min="4" max="4" width="52" customWidth="1"/>
  </cols>
  <sheetData>
    <row r="1" ht="34" customHeight="1" spans="1:4">
      <c r="A1" s="1" t="s">
        <v>131</v>
      </c>
    </row>
    <row r="2" ht="42" customHeight="1" spans="1:4">
      <c r="A2" s="2" t="s">
        <v>132</v>
      </c>
    </row>
    <row r="3" ht="30" customHeight="1"/>
    <row r="4" ht="30" customHeight="1" spans="1:4">
      <c r="A4" s="3" t="s">
        <v>133</v>
      </c>
      <c r="B4" s="3" t="s">
        <v>39</v>
      </c>
      <c r="C4" s="3" t="s">
        <v>40</v>
      </c>
      <c r="D4" s="3" t="s">
        <v>41</v>
      </c>
    </row>
    <row r="5" ht="30" customHeight="1" spans="1:4">
      <c r="A5" s="4" t="s">
        <v>134</v>
      </c>
      <c r="B5" s="4" t="s">
        <v>135</v>
      </c>
      <c r="C5" s="4" t="s">
        <v>44</v>
      </c>
      <c r="D5" s="4" t="s">
        <v>136</v>
      </c>
    </row>
    <row r="6" ht="30" customHeight="1" spans="1:4">
      <c r="A6" s="4" t="s">
        <v>137</v>
      </c>
      <c r="B6" s="5">
        <v>2</v>
      </c>
      <c r="C6" s="4" t="s">
        <v>138</v>
      </c>
      <c r="D6" s="4" t="s">
        <v>136</v>
      </c>
    </row>
    <row r="7" ht="30" customHeight="1" spans="1:4">
      <c r="A7" s="4" t="s">
        <v>139</v>
      </c>
      <c r="B7" s="5">
        <v>2080</v>
      </c>
      <c r="C7" s="4" t="s">
        <v>140</v>
      </c>
      <c r="D7" s="4" t="s">
        <v>136</v>
      </c>
    </row>
    <row r="8" ht="30" customHeight="1" spans="1:4">
      <c r="A8" s="4" t="s">
        <v>141</v>
      </c>
      <c r="B8" s="5">
        <v>4160</v>
      </c>
      <c r="C8" s="4" t="s">
        <v>140</v>
      </c>
      <c r="D8" s="4" t="s">
        <v>142</v>
      </c>
    </row>
    <row r="9" ht="30" customHeight="1" spans="1:4">
      <c r="A9" s="4" t="s">
        <v>143</v>
      </c>
      <c r="B9" s="5">
        <v>2.08</v>
      </c>
      <c r="C9" s="4" t="s">
        <v>144</v>
      </c>
      <c r="D9" s="4" t="s">
        <v>145</v>
      </c>
    </row>
    <row r="10" ht="30" customHeight="1" spans="1:4">
      <c r="A10" s="4" t="s">
        <v>146</v>
      </c>
      <c r="B10" s="5">
        <v>1.163916</v>
      </c>
      <c r="C10" s="4" t="s">
        <v>144</v>
      </c>
      <c r="D10" s="4" t="s">
        <v>147</v>
      </c>
    </row>
    <row r="11" ht="30" customHeight="1" spans="1:4">
      <c r="A11" s="4" t="s">
        <v>148</v>
      </c>
      <c r="B11" s="5">
        <v>10263.6</v>
      </c>
      <c r="C11" s="4" t="s">
        <v>81</v>
      </c>
      <c r="D11" s="4" t="s">
        <v>149</v>
      </c>
    </row>
    <row r="12" ht="30" customHeight="1" spans="1:4">
      <c r="A12" s="4" t="s">
        <v>150</v>
      </c>
      <c r="B12" s="5">
        <v>123163.2</v>
      </c>
      <c r="C12" s="4" t="s">
        <v>151</v>
      </c>
      <c r="D12" s="4" t="s">
        <v>152</v>
      </c>
    </row>
    <row r="13" ht="30" customHeight="1" spans="1:4">
      <c r="A13" s="4" t="s">
        <v>153</v>
      </c>
      <c r="B13" s="5">
        <v>12.31632</v>
      </c>
      <c r="C13" s="4" t="s">
        <v>154</v>
      </c>
      <c r="D13" s="4" t="s">
        <v>33</v>
      </c>
    </row>
  </sheetData>
  <mergeCells count="2">
    <mergeCell ref="A1:H1"/>
    <mergeCell ref="A2:H2"/>
  </mergeCells>
  <pageMargins left="0.75" right="0.75" top="1" bottom="1" header="0.5" footer="0.5"/>
  <pageSetup paperSize="1" fitToHeight="0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9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8" outlineLevelCol="7"/>
  <cols>
    <col min="1" max="1" width="14" customWidth="1"/>
    <col min="2" max="2" width="16" customWidth="1"/>
    <col min="3" max="3" width="12" customWidth="1"/>
    <col min="4" max="5" width="18" customWidth="1"/>
    <col min="6" max="6" width="16" customWidth="1"/>
    <col min="7" max="8" width="18" customWidth="1"/>
  </cols>
  <sheetData>
    <row r="1" ht="34" customHeight="1" spans="1:8">
      <c r="A1" s="1" t="s">
        <v>155</v>
      </c>
    </row>
    <row r="2" ht="42" customHeight="1" spans="1:8">
      <c r="A2" s="2" t="s">
        <v>156</v>
      </c>
    </row>
    <row r="3" ht="30" customHeight="1"/>
    <row r="4" ht="30" customHeight="1" spans="1:8">
      <c r="A4" s="3" t="s">
        <v>87</v>
      </c>
      <c r="B4" s="3" t="s">
        <v>157</v>
      </c>
      <c r="C4" s="3" t="s">
        <v>158</v>
      </c>
      <c r="D4" s="3" t="s">
        <v>159</v>
      </c>
      <c r="E4" s="3" t="s">
        <v>160</v>
      </c>
      <c r="F4" s="3" t="s">
        <v>161</v>
      </c>
      <c r="G4" s="3" t="s">
        <v>162</v>
      </c>
      <c r="H4" s="3" t="s">
        <v>163</v>
      </c>
    </row>
    <row r="5" ht="30" customHeight="1" spans="1:8">
      <c r="A5" s="4" t="s">
        <v>98</v>
      </c>
      <c r="B5" s="4">
        <v>1000</v>
      </c>
      <c r="C5" s="10">
        <v>0.5</v>
      </c>
      <c r="D5" s="4">
        <v>500</v>
      </c>
      <c r="E5" s="5">
        <v>25</v>
      </c>
      <c r="F5" s="5">
        <v>25000</v>
      </c>
      <c r="G5" s="5">
        <v>12500</v>
      </c>
      <c r="H5" s="5">
        <v>150000</v>
      </c>
    </row>
    <row r="6" ht="30" customHeight="1" spans="1:8">
      <c r="A6" s="4" t="s">
        <v>99</v>
      </c>
      <c r="B6" s="4">
        <v>1000</v>
      </c>
      <c r="C6" s="10">
        <v>0.5</v>
      </c>
      <c r="D6" s="4">
        <v>500</v>
      </c>
      <c r="E6" s="5">
        <v>25</v>
      </c>
      <c r="F6" s="5">
        <v>25000</v>
      </c>
      <c r="G6" s="5">
        <v>12500</v>
      </c>
      <c r="H6" s="5">
        <v>150000</v>
      </c>
    </row>
    <row r="7" ht="30" customHeight="1" spans="1:8">
      <c r="A7" s="4" t="s">
        <v>101</v>
      </c>
      <c r="B7" s="4">
        <v>1000</v>
      </c>
      <c r="C7" s="10">
        <v>0.5</v>
      </c>
      <c r="D7" s="4">
        <v>500</v>
      </c>
      <c r="E7" s="5">
        <v>25</v>
      </c>
      <c r="F7" s="5">
        <v>25000</v>
      </c>
      <c r="G7" s="5">
        <v>12500</v>
      </c>
      <c r="H7" s="5">
        <v>150000</v>
      </c>
    </row>
    <row r="8" ht="30" customHeight="1" spans="1:8">
      <c r="A8" s="4" t="s">
        <v>100</v>
      </c>
      <c r="B8" s="4">
        <v>0</v>
      </c>
      <c r="C8" s="10">
        <v>0</v>
      </c>
      <c r="D8" s="4">
        <v>0</v>
      </c>
      <c r="E8" s="5"/>
      <c r="F8" s="5">
        <v>0</v>
      </c>
      <c r="G8" s="5">
        <v>0</v>
      </c>
      <c r="H8" s="5">
        <v>0</v>
      </c>
    </row>
    <row r="9" ht="30" customHeight="1" spans="1:8">
      <c r="A9" s="7" t="s">
        <v>34</v>
      </c>
      <c r="B9" s="7">
        <v>3000</v>
      </c>
      <c r="C9" s="7"/>
      <c r="D9" s="7">
        <v>1500</v>
      </c>
      <c r="E9" s="8"/>
      <c r="F9" s="8">
        <v>75000</v>
      </c>
      <c r="G9" s="8">
        <v>37500</v>
      </c>
      <c r="H9" s="8">
        <v>450000</v>
      </c>
    </row>
  </sheetData>
  <mergeCells count="2">
    <mergeCell ref="A1:H1"/>
    <mergeCell ref="A2:H2"/>
  </mergeCells>
  <pageMargins left="0.75" right="0.75" top="1" bottom="1" header="0.5" footer="0.5"/>
  <pageSetup paperSize="1" fitToHeight="0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8" outlineLevelRow="6" outlineLevelCol="7"/>
  <cols>
    <col min="1" max="1" width="16" customWidth="1"/>
    <col min="2" max="2" width="14" customWidth="1"/>
    <col min="3" max="4" width="18" customWidth="1"/>
    <col min="5" max="5" width="14" customWidth="1"/>
    <col min="6" max="6" width="58" customWidth="1"/>
  </cols>
  <sheetData>
    <row r="1" ht="34" customHeight="1" spans="1:6">
      <c r="A1" s="1" t="s">
        <v>164</v>
      </c>
    </row>
    <row r="2" ht="42" customHeight="1" spans="1:6">
      <c r="A2" s="2" t="s">
        <v>165</v>
      </c>
    </row>
    <row r="3" ht="30" customHeight="1"/>
    <row r="4" ht="30" customHeight="1" spans="1:6">
      <c r="A4" s="3" t="s">
        <v>166</v>
      </c>
      <c r="B4" s="3" t="s">
        <v>167</v>
      </c>
      <c r="C4" s="3" t="s">
        <v>168</v>
      </c>
      <c r="D4" s="3" t="s">
        <v>169</v>
      </c>
      <c r="E4" s="3" t="s">
        <v>170</v>
      </c>
      <c r="F4" s="3" t="s">
        <v>41</v>
      </c>
    </row>
    <row r="5" ht="30" customHeight="1" spans="1:6">
      <c r="A5" s="4" t="s">
        <v>28</v>
      </c>
      <c r="B5" s="4" t="s">
        <v>84</v>
      </c>
      <c r="C5" s="5">
        <v>3282.51</v>
      </c>
      <c r="D5" s="5">
        <v>16412.55</v>
      </c>
      <c r="E5" s="6">
        <v>1.641255</v>
      </c>
      <c r="F5" s="4" t="s">
        <v>171</v>
      </c>
    </row>
    <row r="6" ht="30" customHeight="1" spans="1:6">
      <c r="A6" s="4" t="s">
        <v>31</v>
      </c>
      <c r="B6" s="4" t="s">
        <v>84</v>
      </c>
      <c r="C6" s="5">
        <v>1358</v>
      </c>
      <c r="D6" s="5">
        <v>6790</v>
      </c>
      <c r="E6" s="6">
        <v>0.679</v>
      </c>
      <c r="F6" s="4" t="s">
        <v>172</v>
      </c>
    </row>
    <row r="7" ht="30" customHeight="1" spans="1:6">
      <c r="A7" s="7" t="s">
        <v>34</v>
      </c>
      <c r="B7" s="7" t="s">
        <v>173</v>
      </c>
      <c r="C7" s="8"/>
      <c r="D7" s="8">
        <v>23202.55</v>
      </c>
      <c r="E7" s="9">
        <v>2.320255</v>
      </c>
      <c r="F7" s="7" t="s">
        <v>33</v>
      </c>
    </row>
  </sheetData>
  <mergeCells count="2">
    <mergeCell ref="A1:H1"/>
    <mergeCell ref="A2:H2"/>
  </mergeCells>
  <pageMargins left="0.75" right="0.75" top="1" bottom="1" header="0.5" footer="0.5"/>
  <pageSetup paperSize="1" fitToHeight="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5"/>
  <sheetViews>
    <sheetView showGridLines="0" workbookViewId="0">
      <pane ySplit="3" topLeftCell="A4" activePane="bottomLeft" state="frozen"/>
      <selection/>
      <selection pane="bottomLeft" activeCell="A1" sqref="A1:H1"/>
    </sheetView>
  </sheetViews>
  <sheetFormatPr defaultColWidth="9" defaultRowHeight="18" outlineLevelCol="7"/>
  <cols>
    <col min="1" max="1" width="18" customWidth="1"/>
    <col min="2" max="2" width="72" customWidth="1"/>
    <col min="3" max="3" width="28" customWidth="1"/>
  </cols>
  <sheetData>
    <row r="1" ht="34" customHeight="1" spans="1:3">
      <c r="A1" s="1" t="s">
        <v>174</v>
      </c>
    </row>
    <row r="2" ht="42" customHeight="1" spans="1:3">
      <c r="A2" s="2" t="s">
        <v>175</v>
      </c>
    </row>
    <row r="3" ht="30" customHeight="1"/>
    <row r="4" ht="30" customHeight="1" spans="1:3">
      <c r="A4" s="3" t="s">
        <v>176</v>
      </c>
      <c r="B4" s="3" t="s">
        <v>177</v>
      </c>
      <c r="C4" s="3" t="s">
        <v>178</v>
      </c>
    </row>
    <row r="5" ht="30" customHeight="1" spans="1:3">
      <c r="A5" s="4" t="s">
        <v>179</v>
      </c>
      <c r="B5" s="4" t="s">
        <v>180</v>
      </c>
      <c r="C5" s="4" t="s">
        <v>181</v>
      </c>
    </row>
    <row r="6" ht="30" customHeight="1" spans="1:3">
      <c r="A6" s="4" t="s">
        <v>182</v>
      </c>
      <c r="B6" s="4" t="s">
        <v>183</v>
      </c>
      <c r="C6" s="4" t="s">
        <v>184</v>
      </c>
    </row>
    <row r="7" ht="30" customHeight="1" spans="1:3">
      <c r="A7" s="4" t="s">
        <v>185</v>
      </c>
      <c r="B7" s="4" t="s">
        <v>186</v>
      </c>
      <c r="C7" s="4" t="s">
        <v>187</v>
      </c>
    </row>
    <row r="8" ht="30" customHeight="1" spans="1:3">
      <c r="A8" s="4" t="s">
        <v>188</v>
      </c>
      <c r="B8" s="4" t="s">
        <v>189</v>
      </c>
      <c r="C8" s="4" t="s">
        <v>190</v>
      </c>
    </row>
    <row r="9" ht="30" customHeight="1" spans="1:3">
      <c r="A9" s="4" t="s">
        <v>191</v>
      </c>
      <c r="B9" s="4" t="s">
        <v>20</v>
      </c>
      <c r="C9" s="4" t="s">
        <v>192</v>
      </c>
    </row>
    <row r="10" ht="30" customHeight="1" spans="1:3">
      <c r="A10" s="4" t="s">
        <v>193</v>
      </c>
      <c r="B10" s="4" t="s">
        <v>23</v>
      </c>
      <c r="C10" s="4" t="s">
        <v>194</v>
      </c>
    </row>
    <row r="11" ht="30" customHeight="1" spans="1:3">
      <c r="A11" s="4" t="s">
        <v>195</v>
      </c>
      <c r="B11" s="4" t="s">
        <v>196</v>
      </c>
      <c r="C11" s="4" t="s">
        <v>197</v>
      </c>
    </row>
    <row r="12" ht="30" customHeight="1" spans="1:3">
      <c r="A12" s="4" t="s">
        <v>28</v>
      </c>
      <c r="B12" s="4" t="s">
        <v>198</v>
      </c>
      <c r="C12" s="4" t="s">
        <v>199</v>
      </c>
    </row>
    <row r="13" ht="30" customHeight="1" spans="1:3">
      <c r="A13" s="4" t="s">
        <v>31</v>
      </c>
      <c r="B13" s="4" t="s">
        <v>200</v>
      </c>
      <c r="C13" s="4" t="s">
        <v>201</v>
      </c>
    </row>
    <row r="14" ht="30" customHeight="1" spans="1:3">
      <c r="A14" s="4" t="s">
        <v>2</v>
      </c>
      <c r="B14" s="4" t="s">
        <v>202</v>
      </c>
      <c r="C14" s="4" t="s">
        <v>203</v>
      </c>
    </row>
    <row r="15" ht="30" customHeight="1" spans="1:3">
      <c r="A15" s="4" t="s">
        <v>49</v>
      </c>
      <c r="B15" s="4" t="s">
        <v>21</v>
      </c>
      <c r="C15" s="4" t="s">
        <v>204</v>
      </c>
    </row>
  </sheetData>
  <mergeCells count="2">
    <mergeCell ref="A1:H1"/>
    <mergeCell ref="A2:H2"/>
  </mergeCells>
  <pageMargins left="0.75" right="0.75" top="1" bottom="1" header="0.5" footer="0.5"/>
  <pageSetup paperSize="1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总汇总</vt:lpstr>
      <vt:lpstr>参数</vt:lpstr>
      <vt:lpstr>平台测算</vt:lpstr>
      <vt:lpstr>VPS费用</vt:lpstr>
      <vt:lpstr>HBase服务</vt:lpstr>
      <vt:lpstr>账号费用</vt:lpstr>
      <vt:lpstr>本地存储</vt:lpstr>
      <vt:lpstr>计算公式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Stranger</cp:lastModifiedBy>
  <dcterms:created xsi:type="dcterms:W3CDTF">2026-06-26T02:26:00Z</dcterms:created>
  <dcterms:modified xsi:type="dcterms:W3CDTF">2026-06-25T18:28:42Z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E4ABE7D5FF644D30C1023D6A84833BC9_42</vt:lpwstr>
  </property>
  <property fmtid="{D5CDD505-2E9C-101B-9397-08002B2CF9AE}" pid="3" name="KSOProductBuildVer">
    <vt:lpwstr>2052-12.1.2.26885</vt:lpwstr>
  </property>
  <property fmtid="{D5CDD505-2E9C-101B-9397-08002B2CF9AE}" pid="4" name="CalculationRule">
    <vt:i4>0</vt:i4>
  </property>
</Properties>
</file>